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25725"/>
</workbook>
</file>

<file path=xl/calcChain.xml><?xml version="1.0" encoding="utf-8"?>
<calcChain xmlns="http://schemas.openxmlformats.org/spreadsheetml/2006/main">
  <c r="D20" i="6"/>
  <c r="D13"/>
  <c r="D19"/>
  <c r="D18"/>
  <c r="D17"/>
  <c r="D16"/>
  <c r="D15"/>
  <c r="C3" i="5"/>
  <c r="C4"/>
  <c r="C5"/>
  <c r="C6"/>
  <c r="C7"/>
  <c r="C8"/>
  <c r="C2"/>
  <c r="B3" i="4"/>
  <c r="B2"/>
  <c r="F8" i="3"/>
  <c r="F7"/>
  <c r="F9"/>
  <c r="F10"/>
  <c r="F11"/>
  <c r="F12"/>
  <c r="F13"/>
  <c r="F14"/>
  <c r="F15"/>
  <c r="E7"/>
  <c r="E8"/>
  <c r="E9"/>
  <c r="E10"/>
  <c r="E11"/>
  <c r="E12"/>
  <c r="E13"/>
  <c r="E14"/>
  <c r="E15"/>
  <c r="E6"/>
  <c r="F6" s="1"/>
  <c r="B2" i="2"/>
  <c r="B3"/>
  <c r="B4"/>
  <c r="B5"/>
  <c r="B6"/>
  <c r="B7"/>
  <c r="B8"/>
  <c r="B9"/>
  <c r="B10"/>
  <c r="B1"/>
  <c r="X5" i="1"/>
  <c r="X6"/>
  <c r="X7"/>
  <c r="X8"/>
  <c r="X9"/>
  <c r="X10"/>
  <c r="X11"/>
  <c r="X4"/>
  <c r="W5"/>
  <c r="W6"/>
  <c r="W7"/>
  <c r="W8"/>
  <c r="W9"/>
  <c r="W10"/>
  <c r="W11"/>
  <c r="W4"/>
  <c r="V5"/>
  <c r="V6"/>
  <c r="V7"/>
  <c r="V8"/>
  <c r="V9"/>
  <c r="V10"/>
  <c r="V11"/>
  <c r="V4"/>
  <c r="Q5"/>
  <c r="Q6"/>
  <c r="Q7"/>
  <c r="Q8"/>
  <c r="Q9"/>
  <c r="Q10"/>
  <c r="Q11"/>
  <c r="Q4"/>
  <c r="P5"/>
  <c r="P6"/>
  <c r="P7"/>
  <c r="P8"/>
  <c r="P9"/>
  <c r="P10"/>
  <c r="P11"/>
  <c r="P4"/>
  <c r="O5"/>
  <c r="O6"/>
  <c r="O7"/>
  <c r="O8"/>
  <c r="O9"/>
  <c r="O10"/>
  <c r="O11"/>
  <c r="O4"/>
  <c r="J5"/>
  <c r="J6"/>
  <c r="J7"/>
  <c r="J4"/>
  <c r="F5"/>
  <c r="F6"/>
  <c r="F7"/>
  <c r="F4"/>
  <c r="B5"/>
  <c r="B4"/>
</calcChain>
</file>

<file path=xl/sharedStrings.xml><?xml version="1.0" encoding="utf-8"?>
<sst xmlns="http://schemas.openxmlformats.org/spreadsheetml/2006/main" count="99" uniqueCount="90">
  <si>
    <t>Построить таблицы истиности к следующим логическим операциям</t>
  </si>
  <si>
    <t>x</t>
  </si>
  <si>
    <t>¬x</t>
  </si>
  <si>
    <t>Логическое отрицание (инверсия)</t>
  </si>
  <si>
    <t>y</t>
  </si>
  <si>
    <t>f=x&amp;y</t>
  </si>
  <si>
    <t>Логическое умножение (коньюнкция)</t>
  </si>
  <si>
    <t>not, не</t>
  </si>
  <si>
    <t>f=x˅y</t>
  </si>
  <si>
    <t>или, or</t>
  </si>
  <si>
    <t>и, and, ˄</t>
  </si>
  <si>
    <t>a</t>
  </si>
  <si>
    <t>b</t>
  </si>
  <si>
    <t>c</t>
  </si>
  <si>
    <t>не b</t>
  </si>
  <si>
    <t>a и не b</t>
  </si>
  <si>
    <t>(a и не b) или c</t>
  </si>
  <si>
    <t>f=(a И НЕ b) ИЛИ c</t>
  </si>
  <si>
    <t>z</t>
  </si>
  <si>
    <t>x ˅ y</t>
  </si>
  <si>
    <t>¬z</t>
  </si>
  <si>
    <t>f=(x ˅ y) ˄ ¬z</t>
  </si>
  <si>
    <t>№         п/п</t>
  </si>
  <si>
    <t>Список класса</t>
  </si>
  <si>
    <t>Предмет</t>
  </si>
  <si>
    <t>алгебра</t>
  </si>
  <si>
    <t>геометрия</t>
  </si>
  <si>
    <t>Средний балл</t>
  </si>
  <si>
    <t>Результат зачёта</t>
  </si>
  <si>
    <t>Барабаш Алина</t>
  </si>
  <si>
    <t>Логическое сложение (дизъюнкция)</t>
  </si>
  <si>
    <t>Гришкевич Александр</t>
  </si>
  <si>
    <t>Жураева Гуля</t>
  </si>
  <si>
    <t>Звичевич Снежана</t>
  </si>
  <si>
    <t>Колосова Алёна</t>
  </si>
  <si>
    <t>Колосова Анастасия</t>
  </si>
  <si>
    <t>Куприянова Анастасия</t>
  </si>
  <si>
    <t>Малясов Артём</t>
  </si>
  <si>
    <t>Мунгалов Константин</t>
  </si>
  <si>
    <t>Шабаев Геогргий</t>
  </si>
  <si>
    <t>Сигнал светофора</t>
  </si>
  <si>
    <t>Действие</t>
  </si>
  <si>
    <t>Красный</t>
  </si>
  <si>
    <t>Зелёный</t>
  </si>
  <si>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</si>
  <si>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</si>
  <si>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</si>
  <si>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</si>
  <si>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</si>
  <si>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</si>
  <si>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</si>
  <si>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</si>
  <si>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Прогноз</t>
  </si>
  <si>
    <t>Пасмурно</t>
  </si>
  <si>
    <t>Солнечно</t>
  </si>
  <si>
    <t>Облачно</t>
  </si>
  <si>
    <t>Ветрено</t>
  </si>
  <si>
    <t>Совет</t>
  </si>
  <si>
    <t>Штатное расписание</t>
  </si>
  <si>
    <t>№</t>
  </si>
  <si>
    <t>ФИО</t>
  </si>
  <si>
    <t>Должность</t>
  </si>
  <si>
    <t>Оклад</t>
  </si>
  <si>
    <t>Анваров Г. И.</t>
  </si>
  <si>
    <t>Махмудов Р. Ш.</t>
  </si>
  <si>
    <t>Асабов Р. Г.</t>
  </si>
  <si>
    <t>Курбанов Р. В.</t>
  </si>
  <si>
    <t>Азизова И. К.</t>
  </si>
  <si>
    <t>Иминов И. Р.</t>
  </si>
  <si>
    <t>Курахмедов В. Т.</t>
  </si>
  <si>
    <t>Габибова А. Н.</t>
  </si>
  <si>
    <t>Джабраилова А. М.</t>
  </si>
  <si>
    <t>Патахова В. П.</t>
  </si>
  <si>
    <t>Директор</t>
  </si>
  <si>
    <t>Главный бухгалтер</t>
  </si>
  <si>
    <t>бухгалтер</t>
  </si>
  <si>
    <t>Бухгалтер</t>
  </si>
  <si>
    <t>Кладовщик</t>
  </si>
  <si>
    <t>Электрик</t>
  </si>
  <si>
    <t>Механик</t>
  </si>
  <si>
    <t>Продавец</t>
  </si>
  <si>
    <t>Грузчик</t>
  </si>
  <si>
    <t xml:space="preserve"> Грузчик</t>
  </si>
  <si>
    <t>ФОТ по предприятию</t>
  </si>
  <si>
    <t>Минимальный оклад</t>
  </si>
  <si>
    <t>Максимальный оклад</t>
  </si>
  <si>
    <t>Средняя заработная плата</t>
  </si>
  <si>
    <t>Число сотрудников,имеющих оклад менее</t>
  </si>
  <si>
    <t>ФОТ сотрудников, имеющих оклад менее</t>
  </si>
  <si>
    <t>Доля сотрудников, имеющих оклад менее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</si>
</sst>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selection activeCell="X12" sqref="X12"/>
    </sheetView>
  </sheetViews>
  <sheetFormatPr defaultRowHeight="15"/>
  <cols>
    <col min="1" max="1" width="9.140625" customWidth="1"/>
    <col min="2" max="2" width="10.28515625" customWidth="1"/>
    <col min="3" max="3" width="4" customWidth="1"/>
    <col min="4" max="4" width="10" customWidth="1"/>
    <col min="5" max="5" width="10.42578125" customWidth="1"/>
    <col min="6" max="6" width="10.85546875" customWidth="1"/>
    <col min="7" max="7" width="4.7109375" customWidth="1"/>
    <col min="11" max="11" width="5.140625" customWidth="1"/>
    <col min="15" max="15" width="10" customWidth="1"/>
    <col min="16" max="16" width="11" customWidth="1"/>
    <col min="17" max="17" width="15.5703125" customWidth="1"/>
    <col min="18" max="18" width="5.42578125" customWidth="1"/>
    <col min="24" max="24" width="13" customWidth="1"/>
  </cols>
  <sheetData>
    <row r="1" spans="1:2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46.5" customHeight="1">
      <c r="A2" s="20" t="s">
        <v>3</v>
      </c>
      <c r="B2" s="20"/>
      <c r="D2" s="20" t="s">
        <v>6</v>
      </c>
      <c r="E2" s="20"/>
      <c r="F2" s="20"/>
      <c r="H2" s="20" t="s">
        <v>30</v>
      </c>
      <c r="I2" s="20"/>
      <c r="J2" s="20"/>
      <c r="L2" s="21" t="s">
        <v>17</v>
      </c>
      <c r="M2" s="21"/>
      <c r="N2" s="21"/>
      <c r="O2" s="21"/>
      <c r="P2" s="21"/>
      <c r="Q2" s="21"/>
      <c r="S2" s="22" t="s">
        <v>21</v>
      </c>
      <c r="T2" s="22"/>
      <c r="U2" s="22"/>
      <c r="V2" s="22"/>
      <c r="W2" s="22"/>
      <c r="X2" s="22"/>
    </row>
    <row r="3" spans="1:24">
      <c r="A3" s="1" t="s">
        <v>1</v>
      </c>
      <c r="B3" s="1" t="s">
        <v>2</v>
      </c>
      <c r="D3" s="3" t="s">
        <v>1</v>
      </c>
      <c r="E3" s="3" t="s">
        <v>4</v>
      </c>
      <c r="F3" s="3" t="s">
        <v>5</v>
      </c>
      <c r="H3" s="5" t="s">
        <v>1</v>
      </c>
      <c r="I3" s="5" t="s">
        <v>4</v>
      </c>
      <c r="J3" s="5" t="s">
        <v>8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6" t="s">
        <v>16</v>
      </c>
      <c r="S3" s="8" t="s">
        <v>1</v>
      </c>
      <c r="T3" s="8" t="s">
        <v>4</v>
      </c>
      <c r="U3" s="8" t="s">
        <v>18</v>
      </c>
      <c r="V3" s="3" t="s">
        <v>19</v>
      </c>
      <c r="W3" s="3" t="s">
        <v>20</v>
      </c>
      <c r="X3" s="7" t="s">
        <v>21</v>
      </c>
    </row>
    <row r="4" spans="1:24">
      <c r="A4" s="2">
        <v>0</v>
      </c>
      <c r="B4" s="2" t="b">
        <f>NOT(A4)</f>
        <v>1</v>
      </c>
      <c r="D4" s="4">
        <v>0</v>
      </c>
      <c r="E4" s="4">
        <v>0</v>
      </c>
      <c r="F4" s="4" t="b">
        <f>AND(D4,E4)</f>
        <v>0</v>
      </c>
      <c r="H4" s="4">
        <v>0</v>
      </c>
      <c r="I4" s="4">
        <v>0</v>
      </c>
      <c r="J4" s="4" t="b">
        <f>OR(H4,I4)</f>
        <v>0</v>
      </c>
      <c r="L4" s="4">
        <v>0</v>
      </c>
      <c r="M4" s="4">
        <v>0</v>
      </c>
      <c r="N4" s="4">
        <v>0</v>
      </c>
      <c r="O4" s="4" t="b">
        <f>NOT(M4)</f>
        <v>1</v>
      </c>
      <c r="P4" s="4" t="b">
        <f>AND(L4,O4)</f>
        <v>0</v>
      </c>
      <c r="Q4" s="7" t="b">
        <f>OR(P4,N4)</f>
        <v>0</v>
      </c>
      <c r="S4" s="4">
        <v>0</v>
      </c>
      <c r="T4" s="4">
        <v>0</v>
      </c>
      <c r="U4" s="4">
        <v>0</v>
      </c>
      <c r="V4" s="4" t="b">
        <f>OR(S4,T4)</f>
        <v>0</v>
      </c>
      <c r="W4" s="4" t="b">
        <f>NOT(U4)</f>
        <v>1</v>
      </c>
      <c r="X4" s="7" t="b">
        <f>AND(V4,W4)</f>
        <v>0</v>
      </c>
    </row>
    <row r="5" spans="1:24">
      <c r="A5" s="2">
        <v>1</v>
      </c>
      <c r="B5" s="2" t="b">
        <f>NOT(A5)</f>
        <v>0</v>
      </c>
      <c r="D5" s="4">
        <v>0</v>
      </c>
      <c r="E5" s="4">
        <v>1</v>
      </c>
      <c r="F5" s="4" t="b">
        <f t="shared" ref="F5:F7" si="0">AND(D5,E5)</f>
        <v>0</v>
      </c>
      <c r="H5" s="4">
        <v>0</v>
      </c>
      <c r="I5" s="4">
        <v>1</v>
      </c>
      <c r="J5" s="4" t="b">
        <f t="shared" ref="J5:J7" si="1">OR(H5,I5)</f>
        <v>1</v>
      </c>
      <c r="L5" s="4">
        <v>0</v>
      </c>
      <c r="M5" s="4">
        <v>0</v>
      </c>
      <c r="N5" s="4">
        <v>1</v>
      </c>
      <c r="O5" s="4" t="b">
        <f t="shared" ref="O5:O11" si="2">NOT(M5)</f>
        <v>1</v>
      </c>
      <c r="P5" s="4" t="b">
        <f t="shared" ref="P5:P11" si="3">AND(L5,O5)</f>
        <v>0</v>
      </c>
      <c r="Q5" s="7" t="b">
        <f t="shared" ref="Q5:Q11" si="4">OR(P5,N5)</f>
        <v>1</v>
      </c>
      <c r="S5" s="4">
        <v>0</v>
      </c>
      <c r="T5" s="4">
        <v>0</v>
      </c>
      <c r="U5" s="4">
        <v>1</v>
      </c>
      <c r="V5" s="4" t="b">
        <f t="shared" ref="V5:V11" si="5">OR(S5,T5)</f>
        <v>0</v>
      </c>
      <c r="W5" s="4" t="b">
        <f t="shared" ref="W5:W11" si="6">NOT(U5)</f>
        <v>0</v>
      </c>
      <c r="X5" s="7" t="b">
        <f t="shared" ref="X5:X11" si="7">AND(V5,W5)</f>
        <v>0</v>
      </c>
    </row>
    <row r="6" spans="1:24">
      <c r="D6" s="4">
        <v>1</v>
      </c>
      <c r="E6" s="4">
        <v>0</v>
      </c>
      <c r="F6" s="4" t="b">
        <f t="shared" si="0"/>
        <v>0</v>
      </c>
      <c r="H6" s="4">
        <v>1</v>
      </c>
      <c r="I6" s="4">
        <v>0</v>
      </c>
      <c r="J6" s="4" t="b">
        <f t="shared" si="1"/>
        <v>1</v>
      </c>
      <c r="L6" s="4">
        <v>0</v>
      </c>
      <c r="M6" s="4">
        <v>1</v>
      </c>
      <c r="N6" s="4">
        <v>0</v>
      </c>
      <c r="O6" s="4" t="b">
        <f t="shared" si="2"/>
        <v>0</v>
      </c>
      <c r="P6" s="4" t="b">
        <f t="shared" si="3"/>
        <v>0</v>
      </c>
      <c r="Q6" s="7" t="b">
        <f t="shared" si="4"/>
        <v>0</v>
      </c>
      <c r="S6" s="4">
        <v>0</v>
      </c>
      <c r="T6" s="4">
        <v>1</v>
      </c>
      <c r="U6" s="4">
        <v>0</v>
      </c>
      <c r="V6" s="4" t="b">
        <f t="shared" si="5"/>
        <v>1</v>
      </c>
      <c r="W6" s="4" t="b">
        <f t="shared" si="6"/>
        <v>1</v>
      </c>
      <c r="X6" s="7" t="b">
        <f t="shared" si="7"/>
        <v>1</v>
      </c>
    </row>
    <row r="7" spans="1:24">
      <c r="B7" t="s">
        <v>7</v>
      </c>
      <c r="D7" s="4">
        <v>1</v>
      </c>
      <c r="E7" s="4">
        <v>1</v>
      </c>
      <c r="F7" s="4" t="b">
        <f t="shared" si="0"/>
        <v>1</v>
      </c>
      <c r="H7" s="4">
        <v>1</v>
      </c>
      <c r="I7" s="4">
        <v>1</v>
      </c>
      <c r="J7" s="4" t="b">
        <f t="shared" si="1"/>
        <v>1</v>
      </c>
      <c r="L7" s="4">
        <v>0</v>
      </c>
      <c r="M7" s="4">
        <v>1</v>
      </c>
      <c r="N7" s="4">
        <v>1</v>
      </c>
      <c r="O7" s="4" t="b">
        <f t="shared" si="2"/>
        <v>0</v>
      </c>
      <c r="P7" s="4" t="b">
        <f t="shared" si="3"/>
        <v>0</v>
      </c>
      <c r="Q7" s="7" t="b">
        <f t="shared" si="4"/>
        <v>1</v>
      </c>
      <c r="S7" s="4">
        <v>0</v>
      </c>
      <c r="T7" s="4">
        <v>1</v>
      </c>
      <c r="U7" s="4">
        <v>1</v>
      </c>
      <c r="V7" s="4" t="b">
        <f t="shared" si="5"/>
        <v>1</v>
      </c>
      <c r="W7" s="4" t="b">
        <f t="shared" si="6"/>
        <v>0</v>
      </c>
      <c r="X7" s="7" t="b">
        <f t="shared" si="7"/>
        <v>0</v>
      </c>
    </row>
    <row r="8" spans="1:24">
      <c r="L8" s="4">
        <v>1</v>
      </c>
      <c r="M8" s="4">
        <v>0</v>
      </c>
      <c r="N8" s="4">
        <v>0</v>
      </c>
      <c r="O8" s="4" t="b">
        <f t="shared" si="2"/>
        <v>1</v>
      </c>
      <c r="P8" s="4" t="b">
        <f t="shared" si="3"/>
        <v>1</v>
      </c>
      <c r="Q8" s="7" t="b">
        <f t="shared" si="4"/>
        <v>1</v>
      </c>
      <c r="S8" s="4">
        <v>1</v>
      </c>
      <c r="T8" s="4">
        <v>0</v>
      </c>
      <c r="U8" s="4">
        <v>0</v>
      </c>
      <c r="V8" s="4" t="b">
        <f t="shared" si="5"/>
        <v>1</v>
      </c>
      <c r="W8" s="4" t="b">
        <f t="shared" si="6"/>
        <v>1</v>
      </c>
      <c r="X8" s="7" t="b">
        <f t="shared" si="7"/>
        <v>1</v>
      </c>
    </row>
    <row r="9" spans="1:24">
      <c r="F9" t="s">
        <v>10</v>
      </c>
      <c r="J9" t="s">
        <v>9</v>
      </c>
      <c r="L9" s="4">
        <v>1</v>
      </c>
      <c r="M9" s="4">
        <v>0</v>
      </c>
      <c r="N9" s="4">
        <v>1</v>
      </c>
      <c r="O9" s="4" t="b">
        <f t="shared" si="2"/>
        <v>1</v>
      </c>
      <c r="P9" s="4" t="b">
        <f t="shared" si="3"/>
        <v>1</v>
      </c>
      <c r="Q9" s="7" t="b">
        <f t="shared" si="4"/>
        <v>1</v>
      </c>
      <c r="S9" s="4">
        <v>1</v>
      </c>
      <c r="T9" s="4">
        <v>0</v>
      </c>
      <c r="U9" s="4">
        <v>1</v>
      </c>
      <c r="V9" s="4" t="b">
        <f t="shared" si="5"/>
        <v>1</v>
      </c>
      <c r="W9" s="4" t="b">
        <f t="shared" si="6"/>
        <v>0</v>
      </c>
      <c r="X9" s="7" t="b">
        <f t="shared" si="7"/>
        <v>0</v>
      </c>
    </row>
    <row r="10" spans="1:24">
      <c r="L10" s="4">
        <v>1</v>
      </c>
      <c r="M10" s="4">
        <v>1</v>
      </c>
      <c r="N10" s="4">
        <v>0</v>
      </c>
      <c r="O10" s="4" t="b">
        <f t="shared" si="2"/>
        <v>0</v>
      </c>
      <c r="P10" s="4" t="b">
        <f t="shared" si="3"/>
        <v>0</v>
      </c>
      <c r="Q10" s="7" t="b">
        <f t="shared" si="4"/>
        <v>0</v>
      </c>
      <c r="S10" s="4">
        <v>1</v>
      </c>
      <c r="T10" s="4">
        <v>1</v>
      </c>
      <c r="U10" s="4">
        <v>0</v>
      </c>
      <c r="V10" s="4" t="b">
        <f t="shared" si="5"/>
        <v>1</v>
      </c>
      <c r="W10" s="4" t="b">
        <f t="shared" si="6"/>
        <v>1</v>
      </c>
      <c r="X10" s="7" t="b">
        <f t="shared" si="7"/>
        <v>1</v>
      </c>
    </row>
    <row r="11" spans="1:24">
      <c r="L11" s="4">
        <v>1</v>
      </c>
      <c r="M11" s="4">
        <v>1</v>
      </c>
      <c r="N11" s="4">
        <v>1</v>
      </c>
      <c r="O11" s="4" t="b">
        <f t="shared" si="2"/>
        <v>0</v>
      </c>
      <c r="P11" s="4" t="b">
        <f t="shared" si="3"/>
        <v>0</v>
      </c>
      <c r="Q11" s="7" t="b">
        <f t="shared" si="4"/>
        <v>1</v>
      </c>
      <c r="S11" s="4">
        <v>1</v>
      </c>
      <c r="T11" s="4">
        <v>1</v>
      </c>
      <c r="U11" s="4">
        <v>1</v>
      </c>
      <c r="V11" s="4" t="b">
        <f t="shared" si="5"/>
        <v>1</v>
      </c>
      <c r="W11" s="4" t="b">
        <f t="shared" si="6"/>
        <v>0</v>
      </c>
      <c r="X11" s="7" t="b">
        <f t="shared" si="7"/>
        <v>0</v>
      </c>
    </row>
  </sheetData>
  <mergeCells count="6">
    <mergeCell ref="A1:X1"/>
    <mergeCell ref="A2:B2"/>
    <mergeCell ref="D2:F2"/>
    <mergeCell ref="H2:J2"/>
    <mergeCell ref="L2:Q2"/>
    <mergeCell ref="S2:X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10" sqref="B10"/>
    </sheetView>
  </sheetViews>
  <sheetFormatPr defaultRowHeight="15"/>
  <sheetData>
    <row r="1" spans="1:2">
      <c r="A1">
        <v>2</v>
      </c>
      <c r="B1">
        <f>IF(A1&gt;0,1,0)</f>
        <v>1</v>
      </c>
    </row>
    <row r="2" spans="1:2">
      <c r="A2">
        <v>-3</v>
      </c>
      <c r="B2">
        <f t="shared" ref="B2:B10" si="0">IF(A2&gt;0,1,0)</f>
        <v>0</v>
      </c>
    </row>
    <row r="3" spans="1:2">
      <c r="A3">
        <v>16</v>
      </c>
      <c r="B3">
        <f t="shared" si="0"/>
        <v>1</v>
      </c>
    </row>
    <row r="4" spans="1:2">
      <c r="A4">
        <v>42</v>
      </c>
      <c r="B4">
        <f t="shared" si="0"/>
        <v>1</v>
      </c>
    </row>
    <row r="5" spans="1:2">
      <c r="A5">
        <v>-92</v>
      </c>
      <c r="B5">
        <f t="shared" si="0"/>
        <v>0</v>
      </c>
    </row>
    <row r="6" spans="1:2">
      <c r="A6">
        <v>35</v>
      </c>
      <c r="B6">
        <f t="shared" si="0"/>
        <v>1</v>
      </c>
    </row>
    <row r="7" spans="1:2">
      <c r="A7">
        <v>94</v>
      </c>
      <c r="B7">
        <f t="shared" si="0"/>
        <v>1</v>
      </c>
    </row>
    <row r="8" spans="1:2">
      <c r="A8">
        <v>-67</v>
      </c>
      <c r="B8">
        <f t="shared" si="0"/>
        <v>0</v>
      </c>
    </row>
    <row r="9" spans="1:2">
      <c r="A9">
        <v>52</v>
      </c>
      <c r="B9">
        <f t="shared" si="0"/>
        <v>1</v>
      </c>
    </row>
    <row r="10" spans="1:2">
      <c r="A10">
        <v>-72</v>
      </c>
      <c r="B10">
        <f t="shared" si="0"/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topLeftCell="A4" workbookViewId="0">
      <selection activeCell="F9" sqref="F9"/>
    </sheetView>
  </sheetViews>
  <sheetFormatPr defaultRowHeight="15"/>
  <cols>
    <col min="2" max="2" width="22.140625" customWidth="1"/>
    <col min="3" max="4" width="12.5703125" customWidth="1"/>
    <col min="5" max="5" width="11.5703125" customWidth="1"/>
    <col min="6" max="6" width="14" customWidth="1"/>
  </cols>
  <sheetData>
    <row r="1" spans="1:8">
      <c r="A1" s="24"/>
    </row>
    <row r="2" spans="1:8">
      <c r="A2" s="24"/>
    </row>
    <row r="4" spans="1:8">
      <c r="A4" s="25" t="s">
        <v>22</v>
      </c>
      <c r="B4" s="26" t="s">
        <v>23</v>
      </c>
      <c r="C4" s="27" t="s">
        <v>24</v>
      </c>
      <c r="D4" s="27"/>
      <c r="E4" s="23" t="s">
        <v>27</v>
      </c>
      <c r="F4" s="23" t="s">
        <v>28</v>
      </c>
    </row>
    <row r="5" spans="1:8">
      <c r="A5" s="25"/>
      <c r="B5" s="26"/>
      <c r="C5" s="11" t="s">
        <v>25</v>
      </c>
      <c r="D5" s="11" t="s">
        <v>26</v>
      </c>
      <c r="E5" s="23"/>
      <c r="F5" s="23"/>
    </row>
    <row r="6" spans="1:8">
      <c r="A6" s="11">
        <v>1</v>
      </c>
      <c r="B6" s="10" t="s">
        <v>29</v>
      </c>
      <c r="C6" s="10">
        <v>4</v>
      </c>
      <c r="D6" s="10">
        <v>4</v>
      </c>
      <c r="E6" s="10">
        <f>AVERAGE(C6,D6)</f>
        <v>4</v>
      </c>
      <c r="F6" s="11" t="str">
        <f>IF(E6&gt;4,"зачтено","не зачтено")</f>
        <v>не зачтено</v>
      </c>
    </row>
    <row r="7" spans="1:8">
      <c r="A7" s="11">
        <v>2</v>
      </c>
      <c r="B7" s="10" t="s">
        <v>31</v>
      </c>
      <c r="C7" s="10">
        <v>3</v>
      </c>
      <c r="D7" s="10">
        <v>4</v>
      </c>
      <c r="E7" s="10">
        <f t="shared" ref="E7:E15" si="0">AVERAGE(C7,D7)</f>
        <v>3.5</v>
      </c>
      <c r="F7" s="11" t="str">
        <f t="shared" ref="F7:F15" si="1">IF(E7&gt;4,"зачтено","не зачтено")</f>
        <v>не зачтено</v>
      </c>
    </row>
    <row r="8" spans="1:8">
      <c r="A8" s="11">
        <v>3</v>
      </c>
      <c r="B8" s="10" t="s">
        <v>32</v>
      </c>
      <c r="C8" s="10">
        <v>4</v>
      </c>
      <c r="D8" s="10">
        <v>5</v>
      </c>
      <c r="E8" s="10">
        <f t="shared" si="0"/>
        <v>4.5</v>
      </c>
      <c r="F8" s="11" t="str">
        <f>IF(E8&gt;4,"зачтено","не зачтено")</f>
        <v>зачтено</v>
      </c>
    </row>
    <row r="9" spans="1:8">
      <c r="A9" s="11">
        <v>4</v>
      </c>
      <c r="B9" s="10" t="s">
        <v>33</v>
      </c>
      <c r="C9" s="10">
        <v>5</v>
      </c>
      <c r="D9" s="10">
        <v>5</v>
      </c>
      <c r="E9" s="10">
        <f t="shared" si="0"/>
        <v>5</v>
      </c>
      <c r="F9" s="11" t="str">
        <f t="shared" si="1"/>
        <v>зачтено</v>
      </c>
    </row>
    <row r="10" spans="1:8">
      <c r="A10" s="11">
        <v>5</v>
      </c>
      <c r="B10" s="10" t="s">
        <v>34</v>
      </c>
      <c r="C10" s="10">
        <v>3</v>
      </c>
      <c r="D10" s="10">
        <v>3</v>
      </c>
      <c r="E10" s="10">
        <f t="shared" si="0"/>
        <v>3</v>
      </c>
      <c r="F10" s="11" t="str">
        <f t="shared" si="1"/>
        <v>не зачтено</v>
      </c>
    </row>
    <row r="11" spans="1:8">
      <c r="A11" s="11">
        <v>6</v>
      </c>
      <c r="B11" s="10" t="s">
        <v>35</v>
      </c>
      <c r="C11" s="10">
        <v>4</v>
      </c>
      <c r="D11" s="10">
        <v>3</v>
      </c>
      <c r="E11" s="10">
        <f t="shared" si="0"/>
        <v>3.5</v>
      </c>
      <c r="F11" s="11" t="str">
        <f t="shared" si="1"/>
        <v>не зачтено</v>
      </c>
    </row>
    <row r="12" spans="1:8">
      <c r="A12" s="11">
        <v>7</v>
      </c>
      <c r="B12" s="10" t="s">
        <v>36</v>
      </c>
      <c r="C12" s="10">
        <v>5</v>
      </c>
      <c r="D12" s="10">
        <v>5</v>
      </c>
      <c r="E12" s="10">
        <f t="shared" si="0"/>
        <v>5</v>
      </c>
      <c r="F12" s="11" t="str">
        <f t="shared" si="1"/>
        <v>зачтено</v>
      </c>
    </row>
    <row r="13" spans="1:8">
      <c r="A13" s="11">
        <v>8</v>
      </c>
      <c r="B13" s="10" t="s">
        <v>37</v>
      </c>
      <c r="C13" s="10">
        <v>4</v>
      </c>
      <c r="D13" s="10">
        <v>5</v>
      </c>
      <c r="E13" s="10">
        <f t="shared" si="0"/>
        <v>4.5</v>
      </c>
      <c r="F13" s="11" t="str">
        <f t="shared" si="1"/>
        <v>зачтено</v>
      </c>
      <c r="H13" s="9"/>
    </row>
    <row r="14" spans="1:8">
      <c r="A14" s="11">
        <v>9</v>
      </c>
      <c r="B14" s="10" t="s">
        <v>38</v>
      </c>
      <c r="C14" s="10">
        <v>5</v>
      </c>
      <c r="D14" s="10">
        <v>3</v>
      </c>
      <c r="E14" s="10">
        <f t="shared" si="0"/>
        <v>4</v>
      </c>
      <c r="F14" s="11" t="str">
        <f t="shared" si="1"/>
        <v>не зачтено</v>
      </c>
    </row>
    <row r="15" spans="1:8">
      <c r="A15" s="11">
        <v>10</v>
      </c>
      <c r="B15" s="10" t="s">
        <v>39</v>
      </c>
      <c r="C15" s="10">
        <v>3</v>
      </c>
      <c r="D15" s="10">
        <v>3</v>
      </c>
      <c r="E15" s="10">
        <f t="shared" si="0"/>
        <v>3</v>
      </c>
      <c r="F15" s="11" t="str">
        <f t="shared" si="1"/>
        <v>не зачтено</v>
      </c>
    </row>
  </sheetData>
  <mergeCells count="6">
    <mergeCell ref="F4:F5"/>
    <mergeCell ref="A1:A2"/>
    <mergeCell ref="A4:A5"/>
    <mergeCell ref="B4:B5"/>
    <mergeCell ref="C4:D4"/>
    <mergeCell ref="E4:E5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3" sqref="B3"/>
    </sheetView>
  </sheetViews>
  <sheetFormatPr defaultRowHeight="15"/>
  <cols>
    <col min="1" max="1" width="21" customWidth="1"/>
    <col min="2" max="2" width="13.85546875" customWidth="1"/>
  </cols>
  <sheetData>
    <row r="1" spans="1:2" ht="15.75">
      <c r="A1" s="13" t="s">
        <v>40</v>
      </c>
      <c r="B1" s="13" t="s">
        <v>41</v>
      </c>
    </row>
    <row r="2" spans="1:2" ht="15.75">
      <c r="A2" s="12" t="s">
        <v>42</v>
      </c>
      <c r="B2" s="12" t="str">
        <f>IF(A2="Красный","Стоп","Иди")</f>
        <v>Стоп</v>
      </c>
    </row>
    <row r="3" spans="1:2" ht="15.75">
      <c r="A3" s="12" t="s">
        <v>43</v>
      </c>
      <c r="B3" s="12" t="str">
        <f>IF(A3="Красный","Стоп","Иди")</f>
        <v>Иди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D8" sqref="D8"/>
    </sheetView>
  </sheetViews>
  <sheetFormatPr defaultRowHeight="15"/>
  <cols>
    <col min="1" max="1" width="21.28515625" customWidth="1"/>
    <col min="2" max="2" width="18.85546875" customWidth="1"/>
    <col min="3" max="3" width="18.28515625" customWidth="1"/>
  </cols>
  <sheetData>
    <row r="1" spans="1:3" ht="15.75">
      <c r="A1" s="14" t="s">
        <v>44</v>
      </c>
      <c r="B1" s="14" t="s">
        <v>52</v>
      </c>
      <c r="C1" s="14" t="s">
        <v>57</v>
      </c>
    </row>
    <row r="2" spans="1:3" ht="15.75">
      <c r="A2" s="12" t="s">
        <v>45</v>
      </c>
      <c r="B2" s="12" t="s">
        <v>53</v>
      </c>
      <c r="C2" s="12" t="str">
        <f>IF(B2="Пасмурно","Возьми зонт","Хорошая погода")</f>
        <v>Возьми зонт</v>
      </c>
    </row>
    <row r="3" spans="1:3" ht="15.75">
      <c r="A3" s="12" t="s">
        <v>46</v>
      </c>
      <c r="B3" s="12" t="s">
        <v>54</v>
      </c>
      <c r="C3" s="12" t="str">
        <f t="shared" ref="C3:C8" si="0">IF(B3="Пасмурно","Возьми зонт","Хорошая погода")</f>
        <v>Хорошая погода</v>
      </c>
    </row>
    <row r="4" spans="1:3" ht="15.75">
      <c r="A4" s="12" t="s">
        <v>47</v>
      </c>
      <c r="B4" s="12" t="s">
        <v>55</v>
      </c>
      <c r="C4" s="12" t="str">
        <f t="shared" si="0"/>
        <v>Хорошая погода</v>
      </c>
    </row>
    <row r="5" spans="1:3" ht="15.75">
      <c r="A5" s="12" t="s">
        <v>48</v>
      </c>
      <c r="B5" s="12" t="s">
        <v>53</v>
      </c>
      <c r="C5" s="12" t="str">
        <f t="shared" si="0"/>
        <v>Возьми зонт</v>
      </c>
    </row>
    <row r="6" spans="1:3" ht="15.75">
      <c r="A6" s="12" t="s">
        <v>49</v>
      </c>
      <c r="B6" s="12" t="s">
        <v>56</v>
      </c>
      <c r="C6" s="12" t="str">
        <f t="shared" si="0"/>
        <v>Хорошая погода</v>
      </c>
    </row>
    <row r="7" spans="1:3" ht="15.75">
      <c r="A7" s="12" t="s">
        <v>50</v>
      </c>
      <c r="B7" s="12" t="s">
        <v>53</v>
      </c>
      <c r="C7" s="12" t="str">
        <f t="shared" si="0"/>
        <v>Возьми зонт</v>
      </c>
    </row>
    <row r="8" spans="1:3" ht="15.75">
      <c r="A8" s="12" t="s">
        <v>51</v>
      </c>
      <c r="B8" s="12" t="s">
        <v>54</v>
      </c>
      <c r="C8" s="12" t="str">
        <f t="shared" si="0"/>
        <v>Хорошая погода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selection activeCell="D21" sqref="D21"/>
    </sheetView>
  </sheetViews>
  <sheetFormatPr defaultRowHeight="15"/>
  <cols>
    <col min="1" max="1" width="6.140625" customWidth="1"/>
    <col min="2" max="2" width="42.140625" customWidth="1"/>
    <col min="3" max="3" width="23.42578125" customWidth="1"/>
    <col min="4" max="4" width="28" customWidth="1"/>
  </cols>
  <sheetData>
    <row r="1" spans="1:4">
      <c r="A1" s="28" t="s">
        <v>58</v>
      </c>
      <c r="B1" s="28"/>
      <c r="C1" s="28"/>
      <c r="D1" s="28"/>
    </row>
    <row r="2" spans="1:4">
      <c r="A2" s="17" t="s">
        <v>59</v>
      </c>
      <c r="B2" s="17" t="s">
        <v>60</v>
      </c>
      <c r="C2" s="17" t="s">
        <v>61</v>
      </c>
      <c r="D2" s="17" t="s">
        <v>62</v>
      </c>
    </row>
    <row r="3" spans="1:4">
      <c r="A3" s="16">
        <v>1</v>
      </c>
      <c r="B3" s="4" t="s">
        <v>63</v>
      </c>
      <c r="C3" s="4" t="s">
        <v>73</v>
      </c>
      <c r="D3" s="16">
        <v>18000</v>
      </c>
    </row>
    <row r="4" spans="1:4">
      <c r="A4" s="16">
        <v>2</v>
      </c>
      <c r="B4" s="4" t="s">
        <v>70</v>
      </c>
      <c r="C4" s="4" t="s">
        <v>74</v>
      </c>
      <c r="D4" s="16">
        <v>14500</v>
      </c>
    </row>
    <row r="5" spans="1:4">
      <c r="A5" s="16">
        <v>3</v>
      </c>
      <c r="B5" s="4" t="s">
        <v>71</v>
      </c>
      <c r="C5" s="4" t="s">
        <v>75</v>
      </c>
      <c r="D5" s="16">
        <v>10000</v>
      </c>
    </row>
    <row r="6" spans="1:4">
      <c r="A6" s="16">
        <v>4</v>
      </c>
      <c r="B6" s="4" t="s">
        <v>72</v>
      </c>
      <c r="C6" s="4" t="s">
        <v>76</v>
      </c>
      <c r="D6" s="16">
        <v>10000</v>
      </c>
    </row>
    <row r="7" spans="1:4">
      <c r="A7" s="16">
        <v>5</v>
      </c>
      <c r="B7" s="4" t="s">
        <v>64</v>
      </c>
      <c r="C7" s="4" t="s">
        <v>77</v>
      </c>
      <c r="D7" s="16">
        <v>6800</v>
      </c>
    </row>
    <row r="8" spans="1:4">
      <c r="A8" s="16">
        <v>6</v>
      </c>
      <c r="B8" s="4" t="s">
        <v>65</v>
      </c>
      <c r="C8" s="4" t="s">
        <v>78</v>
      </c>
      <c r="D8" s="16">
        <v>5400</v>
      </c>
    </row>
    <row r="9" spans="1:4">
      <c r="A9" s="16">
        <v>7</v>
      </c>
      <c r="B9" s="4" t="s">
        <v>66</v>
      </c>
      <c r="C9" s="4" t="s">
        <v>79</v>
      </c>
      <c r="D9" s="16">
        <v>3000</v>
      </c>
    </row>
    <row r="10" spans="1:4">
      <c r="A10" s="16">
        <v>8</v>
      </c>
      <c r="B10" s="4" t="s">
        <v>67</v>
      </c>
      <c r="C10" s="4" t="s">
        <v>80</v>
      </c>
      <c r="D10" s="16">
        <v>2700</v>
      </c>
    </row>
    <row r="11" spans="1:4">
      <c r="A11" s="16">
        <v>9</v>
      </c>
      <c r="B11" s="4" t="s">
        <v>68</v>
      </c>
      <c r="C11" s="4" t="s">
        <v>81</v>
      </c>
      <c r="D11" s="16">
        <v>8000</v>
      </c>
    </row>
    <row r="12" spans="1:4">
      <c r="A12" s="16">
        <v>10</v>
      </c>
      <c r="B12" s="4" t="s">
        <v>69</v>
      </c>
      <c r="C12" s="4" t="s">
        <v>82</v>
      </c>
      <c r="D12" s="16">
        <v>8000</v>
      </c>
    </row>
    <row r="13" spans="1:4">
      <c r="A13" s="4"/>
      <c r="B13" s="7" t="s">
        <v>83</v>
      </c>
      <c r="C13" s="4"/>
      <c r="D13" s="16">
        <f>SUM(D3:D12)</f>
        <v>86400</v>
      </c>
    </row>
    <row r="15" spans="1:4">
      <c r="B15" s="7" t="s">
        <v>84</v>
      </c>
      <c r="C15" s="16"/>
      <c r="D15" s="16">
        <f>MIN(D3:D12)</f>
        <v>2700</v>
      </c>
    </row>
    <row r="16" spans="1:4">
      <c r="B16" s="7" t="s">
        <v>85</v>
      </c>
      <c r="C16" s="16"/>
      <c r="D16" s="16">
        <f>MAX(D3:D12)</f>
        <v>18000</v>
      </c>
    </row>
    <row r="17" spans="2:4">
      <c r="B17" s="7" t="s">
        <v>86</v>
      </c>
      <c r="C17" s="16"/>
      <c r="D17" s="16">
        <f>AVERAGE(D3:D12)</f>
        <v>8640</v>
      </c>
    </row>
    <row r="18" spans="2:4">
      <c r="B18" s="7" t="s">
        <v>87</v>
      </c>
      <c r="C18" s="16">
        <v>5000</v>
      </c>
      <c r="D18" s="16">
        <f>COUNTIF(D3:D12,"&lt;"&amp;C18)</f>
        <v>2</v>
      </c>
    </row>
    <row r="19" spans="2:4">
      <c r="B19" s="7" t="s">
        <v>88</v>
      </c>
      <c r="C19" s="16">
        <v>5000</v>
      </c>
      <c r="D19" s="16">
        <f>SUMIF(D3:D12,"&lt;"&amp;C19)</f>
        <v>5700</v>
      </c>
    </row>
    <row r="20" spans="2:4">
      <c r="B20" s="7" t="s">
        <v>89</v>
      </c>
      <c r="C20" s="16"/>
      <c r="D20" s="18">
        <f>D19/D13</f>
        <v>6.5972222222222224E-2</v>
      </c>
    </row>
    <row r="21" spans="2:4">
      <c r="D21" s="1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2025-02-17T18:34:49Z</dcterms:modified>
</cp:coreProperties>
</file>